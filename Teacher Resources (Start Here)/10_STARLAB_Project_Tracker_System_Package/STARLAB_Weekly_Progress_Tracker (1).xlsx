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Progress Log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<sst xmlns="http://schemas.openxmlformats.org/spreadsheetml/2006/main" count="36" uniqueCount="23">
  <si>
    <t>Week #</t>
  </si>
  <si>
    <t>Date Range</t>
  </si>
  <si>
    <t>Main Goals / Objectives</t>
  </si>
  <si>
    <t>Tasks Completed</t>
  </si>
  <si>
    <t>Challenges / Issues</t>
  </si>
  <si>
    <t>Next Steps</t>
  </si>
  <si>
    <t>Mentor or Teacher Feedback</t>
  </si>
  <si>
    <t>Status</t>
  </si>
  <si>
    <t>Not Started</t>
  </si>
  <si>
    <t>STARLAB Weekly Progress — Dashboard</t>
  </si>
  <si>
    <t>Count</t>
  </si>
  <si>
    <t>In Progress</t>
  </si>
  <si>
    <t>Complete</t>
  </si>
  <si>
    <t>Overall Progress (% Complete)</t>
  </si>
  <si>
    <t>Keyword Flags (from 'Challenges / Issues')</t>
  </si>
  <si>
    <t>Keyword</t>
  </si>
  <si>
    <t>Hits</t>
  </si>
  <si>
    <t>equipment</t>
  </si>
  <si>
    <t>data</t>
  </si>
  <si>
    <t>time</t>
  </si>
  <si>
    <t>materials</t>
  </si>
  <si>
    <t>permission</t>
  </si>
  <si>
    <t>safety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</si>
</sst>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EEFEF"/>
        <bgColor rgb="FFEEEFE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1" numFmtId="0" xfId="0" applyFont="1"/>
    <xf borderId="0" fillId="0" fontId="3" numFmtId="9" xfId="0" applyAlignment="1" applyFont="1" applyNumberForma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D7DA"/>
          <bgColor rgb="FFF8D7DA"/>
        </patternFill>
      </fill>
      <border/>
    </dxf>
    <dxf>
      <font/>
      <fill>
        <patternFill patternType="solid">
          <fgColor rgb="FFFFF3CD"/>
          <bgColor rgb="FFFFF3CD"/>
        </patternFill>
      </fill>
      <border/>
    </dxf>
    <dxf>
      <font/>
      <fill>
        <patternFill patternType="solid">
          <fgColor rgb="FFD4EDDA"/>
          <bgColor rgb="FFD4EDDA"/>
        </patternFill>
      </fill>
      <border/>
    </dxf>
  </dxfs>
  <tableStyles count="1">
    <tableStyle count="4" pivot="0" name="Weekly Progress 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Weeks by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Dashboard!$A$4:$A$6</c:f>
            </c:strRef>
          </c:cat>
          <c:val>
            <c:numRef>
              <c:f>Dashboard!$B$4:$B$6</c:f>
              <c:numCache/>
            </c:numRef>
          </c:val>
        </c:ser>
        <c:axId val="433364815"/>
        <c:axId val="1025186697"/>
      </c:barChart>
      <c:catAx>
        <c:axId val="433364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186697"/>
      </c:catAx>
      <c:valAx>
        <c:axId val="1025186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3648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391150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" displayName="Table1" name="Table1" id="1">
  <tableColumns count="8">
    <tableColumn name="Week #" id="1"/>
    <tableColumn name="Date Range" id="2"/>
    <tableColumn name="Main Goals / Objectives" id="3"/>
    <tableColumn name="Tasks Completed" id="4"/>
    <tableColumn name="Challenges / Issues" id="5"/>
    <tableColumn name="Next Steps" id="6"/>
    <tableColumn name="Mentor or Teacher Feedback" id="7"/>
    <tableColumn name="Status" id="8"/>
  </tableColumns>
  <tableStyleInfo name="Weekly Progress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8.0"/>
    <col customWidth="1" min="3" max="4" width="28.0"/>
    <col customWidth="1" min="5" max="5" width="26.0"/>
    <col customWidth="1" min="6" max="6" width="24.0"/>
    <col customWidth="1" min="7" max="7" width="26.0"/>
    <col customWidth="1" min="8" max="8" width="16.14"/>
    <col customWidth="1" min="9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1.0</v>
      </c>
      <c r="B2" s="3"/>
      <c r="C2" s="3"/>
      <c r="D2" s="3"/>
      <c r="E2" s="3"/>
      <c r="F2" s="3"/>
      <c r="G2" s="3"/>
      <c r="H2" s="4" t="s">
        <v>8</v>
      </c>
    </row>
    <row r="3" ht="22.5" customHeight="1">
      <c r="A3" s="2">
        <v>2.0</v>
      </c>
      <c r="B3" s="3"/>
      <c r="C3" s="3"/>
      <c r="D3" s="3"/>
      <c r="E3" s="3"/>
      <c r="F3" s="3"/>
      <c r="G3" s="3"/>
      <c r="H3" s="4" t="s">
        <v>8</v>
      </c>
    </row>
    <row r="4" ht="22.5" customHeight="1">
      <c r="A4" s="2">
        <v>3.0</v>
      </c>
      <c r="B4" s="3"/>
      <c r="C4" s="3"/>
      <c r="D4" s="3"/>
      <c r="E4" s="3"/>
      <c r="F4" s="3"/>
      <c r="G4" s="3"/>
      <c r="H4" s="4" t="s">
        <v>8</v>
      </c>
    </row>
    <row r="5" ht="22.5" customHeight="1">
      <c r="A5" s="2">
        <v>4.0</v>
      </c>
      <c r="B5" s="3"/>
      <c r="C5" s="3"/>
      <c r="D5" s="3"/>
      <c r="E5" s="3"/>
      <c r="F5" s="3"/>
      <c r="G5" s="3"/>
      <c r="H5" s="4" t="s">
        <v>8</v>
      </c>
    </row>
    <row r="6" ht="22.5" customHeight="1">
      <c r="A6" s="2">
        <v>5.0</v>
      </c>
      <c r="B6" s="3"/>
      <c r="C6" s="3"/>
      <c r="D6" s="3"/>
      <c r="E6" s="3"/>
      <c r="F6" s="3"/>
      <c r="G6" s="3"/>
      <c r="H6" s="4" t="s">
        <v>8</v>
      </c>
    </row>
    <row r="7" ht="22.5" customHeight="1">
      <c r="A7" s="2">
        <v>6.0</v>
      </c>
      <c r="B7" s="3"/>
      <c r="C7" s="3"/>
      <c r="D7" s="3"/>
      <c r="E7" s="3"/>
      <c r="F7" s="3"/>
      <c r="G7" s="3"/>
      <c r="H7" s="4" t="s">
        <v>8</v>
      </c>
    </row>
    <row r="8" ht="22.5" customHeight="1">
      <c r="A8" s="2">
        <v>7.0</v>
      </c>
      <c r="B8" s="3"/>
      <c r="C8" s="3"/>
      <c r="D8" s="3"/>
      <c r="E8" s="3"/>
      <c r="F8" s="3"/>
      <c r="G8" s="3"/>
      <c r="H8" s="4" t="s">
        <v>8</v>
      </c>
    </row>
    <row r="9" ht="22.5" customHeight="1">
      <c r="A9" s="2">
        <v>8.0</v>
      </c>
      <c r="B9" s="3"/>
      <c r="C9" s="3"/>
      <c r="D9" s="3"/>
      <c r="E9" s="3"/>
      <c r="F9" s="3"/>
      <c r="G9" s="3"/>
      <c r="H9" s="4" t="s">
        <v>8</v>
      </c>
    </row>
    <row r="10" ht="22.5" customHeight="1">
      <c r="A10" s="2">
        <v>9.0</v>
      </c>
      <c r="B10" s="3"/>
      <c r="C10" s="3"/>
      <c r="D10" s="3"/>
      <c r="E10" s="3"/>
      <c r="F10" s="3"/>
      <c r="G10" s="3"/>
      <c r="H10" s="4" t="s">
        <v>8</v>
      </c>
    </row>
    <row r="11" ht="22.5" customHeight="1">
      <c r="A11" s="2">
        <v>10.0</v>
      </c>
      <c r="B11" s="3"/>
      <c r="C11" s="3"/>
      <c r="D11" s="3"/>
      <c r="E11" s="3"/>
      <c r="F11" s="3"/>
      <c r="G11" s="3"/>
      <c r="H11" s="4" t="s">
        <v>8</v>
      </c>
    </row>
    <row r="12" ht="22.5" customHeight="1">
      <c r="A12" s="2">
        <v>11.0</v>
      </c>
      <c r="B12" s="3"/>
      <c r="C12" s="3"/>
      <c r="D12" s="3"/>
      <c r="E12" s="3"/>
      <c r="F12" s="3"/>
      <c r="G12" s="3"/>
      <c r="H12" s="4" t="s">
        <v>8</v>
      </c>
    </row>
    <row r="13" ht="22.5" customHeight="1">
      <c r="A13" s="2">
        <v>12.0</v>
      </c>
      <c r="B13" s="3"/>
      <c r="C13" s="3"/>
      <c r="D13" s="3"/>
      <c r="E13" s="3"/>
      <c r="F13" s="3"/>
      <c r="G13" s="3"/>
      <c r="H13" s="4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H2">
    <cfRule type="expression" dxfId="5" priority="1" stopIfTrue="1">
      <formula>$H2="Not Started"</formula>
    </cfRule>
  </conditionalFormatting>
  <conditionalFormatting sqref="A2:H2">
    <cfRule type="expression" dxfId="6" priority="2" stopIfTrue="1">
      <formula>$H2="In Progress"</formula>
    </cfRule>
  </conditionalFormatting>
  <conditionalFormatting sqref="A2:H2">
    <cfRule type="expression" dxfId="7" priority="3" stopIfTrue="1">
      <formula>$H2="Complete"</formula>
    </cfRule>
  </conditionalFormatting>
  <conditionalFormatting sqref="A3:H3">
    <cfRule type="expression" dxfId="5" priority="4" stopIfTrue="1">
      <formula>$H3="Not Started"</formula>
    </cfRule>
  </conditionalFormatting>
  <conditionalFormatting sqref="A3:H3">
    <cfRule type="expression" dxfId="6" priority="5" stopIfTrue="1">
      <formula>$H3="In Progress"</formula>
    </cfRule>
  </conditionalFormatting>
  <conditionalFormatting sqref="A3:H3">
    <cfRule type="expression" dxfId="7" priority="6" stopIfTrue="1">
      <formula>$H3="Complete"</formula>
    </cfRule>
  </conditionalFormatting>
  <conditionalFormatting sqref="A4:H4">
    <cfRule type="expression" dxfId="5" priority="7" stopIfTrue="1">
      <formula>$H4="Not Started"</formula>
    </cfRule>
  </conditionalFormatting>
  <conditionalFormatting sqref="A4:H4">
    <cfRule type="expression" dxfId="6" priority="8" stopIfTrue="1">
      <formula>$H4="In Progress"</formula>
    </cfRule>
  </conditionalFormatting>
  <conditionalFormatting sqref="A4:H4">
    <cfRule type="expression" dxfId="7" priority="9" stopIfTrue="1">
      <formula>$H4="Complete"</formula>
    </cfRule>
  </conditionalFormatting>
  <conditionalFormatting sqref="A5:H5">
    <cfRule type="expression" dxfId="5" priority="10" stopIfTrue="1">
      <formula>$H5="Not Started"</formula>
    </cfRule>
  </conditionalFormatting>
  <conditionalFormatting sqref="A5:H5">
    <cfRule type="expression" dxfId="6" priority="11" stopIfTrue="1">
      <formula>$H5="In Progress"</formula>
    </cfRule>
  </conditionalFormatting>
  <conditionalFormatting sqref="A5:H5">
    <cfRule type="expression" dxfId="7" priority="12" stopIfTrue="1">
      <formula>$H5="Complete"</formula>
    </cfRule>
  </conditionalFormatting>
  <conditionalFormatting sqref="A6:H6">
    <cfRule type="expression" dxfId="5" priority="13" stopIfTrue="1">
      <formula>$H6="Not Started"</formula>
    </cfRule>
  </conditionalFormatting>
  <conditionalFormatting sqref="A6:H6">
    <cfRule type="expression" dxfId="6" priority="14" stopIfTrue="1">
      <formula>$H6="In Progress"</formula>
    </cfRule>
  </conditionalFormatting>
  <conditionalFormatting sqref="A6:H6">
    <cfRule type="expression" dxfId="7" priority="15" stopIfTrue="1">
      <formula>$H6="Complete"</formula>
    </cfRule>
  </conditionalFormatting>
  <conditionalFormatting sqref="A7:H7">
    <cfRule type="expression" dxfId="5" priority="16" stopIfTrue="1">
      <formula>$H7="Not Started"</formula>
    </cfRule>
  </conditionalFormatting>
  <conditionalFormatting sqref="A7:H7">
    <cfRule type="expression" dxfId="6" priority="17" stopIfTrue="1">
      <formula>$H7="In Progress"</formula>
    </cfRule>
  </conditionalFormatting>
  <conditionalFormatting sqref="A7:H7">
    <cfRule type="expression" dxfId="7" priority="18" stopIfTrue="1">
      <formula>$H7="Complete"</formula>
    </cfRule>
  </conditionalFormatting>
  <conditionalFormatting sqref="A8:H8">
    <cfRule type="expression" dxfId="5" priority="19" stopIfTrue="1">
      <formula>$H8="Not Started"</formula>
    </cfRule>
  </conditionalFormatting>
  <conditionalFormatting sqref="A8:H8">
    <cfRule type="expression" dxfId="6" priority="20" stopIfTrue="1">
      <formula>$H8="In Progress"</formula>
    </cfRule>
  </conditionalFormatting>
  <conditionalFormatting sqref="A8:H8">
    <cfRule type="expression" dxfId="7" priority="21" stopIfTrue="1">
      <formula>$H8="Complete"</formula>
    </cfRule>
  </conditionalFormatting>
  <conditionalFormatting sqref="A9:H9">
    <cfRule type="expression" dxfId="5" priority="22" stopIfTrue="1">
      <formula>$H9="Not Started"</formula>
    </cfRule>
  </conditionalFormatting>
  <conditionalFormatting sqref="A9:H9">
    <cfRule type="expression" dxfId="6" priority="23" stopIfTrue="1">
      <formula>$H9="In Progress"</formula>
    </cfRule>
  </conditionalFormatting>
  <conditionalFormatting sqref="A9:H9">
    <cfRule type="expression" dxfId="7" priority="24" stopIfTrue="1">
      <formula>$H9="Complete"</formula>
    </cfRule>
  </conditionalFormatting>
  <conditionalFormatting sqref="A10:H10">
    <cfRule type="expression" dxfId="5" priority="25" stopIfTrue="1">
      <formula>$H10="Not Started"</formula>
    </cfRule>
  </conditionalFormatting>
  <conditionalFormatting sqref="A10:H10">
    <cfRule type="expression" dxfId="6" priority="26" stopIfTrue="1">
      <formula>$H10="In Progress"</formula>
    </cfRule>
  </conditionalFormatting>
  <conditionalFormatting sqref="A10:H10">
    <cfRule type="expression" dxfId="7" priority="27" stopIfTrue="1">
      <formula>$H10="Complete"</formula>
    </cfRule>
  </conditionalFormatting>
  <conditionalFormatting sqref="A11:H11">
    <cfRule type="expression" dxfId="5" priority="28" stopIfTrue="1">
      <formula>$H11="Not Started"</formula>
    </cfRule>
  </conditionalFormatting>
  <conditionalFormatting sqref="A11:H11">
    <cfRule type="expression" dxfId="6" priority="29" stopIfTrue="1">
      <formula>$H11="In Progress"</formula>
    </cfRule>
  </conditionalFormatting>
  <conditionalFormatting sqref="A11:H11">
    <cfRule type="expression" dxfId="7" priority="30" stopIfTrue="1">
      <formula>$H11="Complete"</formula>
    </cfRule>
  </conditionalFormatting>
  <conditionalFormatting sqref="A12:H12">
    <cfRule type="expression" dxfId="5" priority="31" stopIfTrue="1">
      <formula>$H12="Not Started"</formula>
    </cfRule>
  </conditionalFormatting>
  <conditionalFormatting sqref="A12:H12">
    <cfRule type="expression" dxfId="6" priority="32" stopIfTrue="1">
      <formula>$H12="In Progress"</formula>
    </cfRule>
  </conditionalFormatting>
  <conditionalFormatting sqref="A12:H12">
    <cfRule type="expression" dxfId="7" priority="33" stopIfTrue="1">
      <formula>$H12="Complete"</formula>
    </cfRule>
  </conditionalFormatting>
  <conditionalFormatting sqref="A13:H13">
    <cfRule type="expression" dxfId="5" priority="34" stopIfTrue="1">
      <formula>$H13="Not Started"</formula>
    </cfRule>
  </conditionalFormatting>
  <conditionalFormatting sqref="A13:H13">
    <cfRule type="expression" dxfId="6" priority="35" stopIfTrue="1">
      <formula>$H13="In Progress"</formula>
    </cfRule>
  </conditionalFormatting>
  <conditionalFormatting sqref="A13:H13">
    <cfRule type="expression" dxfId="7" priority="36" stopIfTrue="1">
      <formula>$H13="Complete"</formula>
    </cfRule>
  </conditionalFormatting>
  <dataValidations>
    <dataValidation type="list" allowBlank="1" showDropDown="1" showInputMessage="1" prompt="Invalid Status - Please choose a status from the dropdown." sqref="H2:H13">
      <formula1>"Not Started,In Progress,Complete"</formula1>
    </dataValidation>
    <dataValidation type="custom" allowBlank="1" showDropDown="1" sqref="A2:A13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5" width="18.0"/>
    <col customWidth="1" min="6" max="26" width="8.71"/>
  </cols>
  <sheetData>
    <row r="1">
      <c r="A1" s="5" t="s">
        <v>9</v>
      </c>
    </row>
    <row r="3">
      <c r="A3" s="6" t="s">
        <v>7</v>
      </c>
      <c r="B3" s="6" t="s">
        <v>10</v>
      </c>
    </row>
    <row r="4">
      <c r="A4" s="7" t="s">
        <v>8</v>
      </c>
      <c r="B4" s="8">
        <f>COUNTIF('Weekly Progress Log'!H2:H13,"Not Started")</f>
        <v>12</v>
      </c>
    </row>
    <row r="5">
      <c r="A5" s="7" t="s">
        <v>11</v>
      </c>
      <c r="B5" s="8">
        <f>COUNTIF('Weekly Progress Log'!H2:H13,"In Progress")</f>
        <v>0</v>
      </c>
    </row>
    <row r="6">
      <c r="A6" s="7" t="s">
        <v>12</v>
      </c>
      <c r="B6" s="8">
        <f>COUNTIF('Weekly Progress Log'!H2:H13,"Complete")</f>
        <v>0</v>
      </c>
    </row>
    <row r="8">
      <c r="A8" s="9" t="s">
        <v>13</v>
      </c>
      <c r="B8" s="10">
        <f>COUNTIF('Weekly Progress Log'!H2:H13,"Complete")/12</f>
        <v>0</v>
      </c>
    </row>
    <row r="12">
      <c r="A12" s="9" t="s">
        <v>14</v>
      </c>
    </row>
    <row r="13">
      <c r="A13" s="6" t="s">
        <v>15</v>
      </c>
      <c r="B13" s="6" t="s">
        <v>16</v>
      </c>
    </row>
    <row r="14">
      <c r="A14" s="7" t="s">
        <v>17</v>
      </c>
      <c r="B14" s="8">
        <f>COUNTIF('Weekly Progress Log'!E2:E13,"*equipment*")</f>
        <v>0</v>
      </c>
    </row>
    <row r="15">
      <c r="A15" s="7" t="s">
        <v>18</v>
      </c>
      <c r="B15" s="8">
        <f>COUNTIF('Weekly Progress Log'!E2:E13,"*data*")</f>
        <v>0</v>
      </c>
    </row>
    <row r="16">
      <c r="A16" s="7" t="s">
        <v>19</v>
      </c>
      <c r="B16" s="8">
        <f>COUNTIF('Weekly Progress Log'!E2:E13,"*time*")</f>
        <v>0</v>
      </c>
    </row>
    <row r="17">
      <c r="A17" s="7" t="s">
        <v>20</v>
      </c>
      <c r="B17" s="8">
        <f>COUNTIF('Weekly Progress Log'!E2:E13,"*materials*")</f>
        <v>0</v>
      </c>
    </row>
    <row r="18">
      <c r="A18" s="7" t="s">
        <v>21</v>
      </c>
      <c r="B18" s="8">
        <f>COUNTIF('Weekly Progress Log'!E2:E13,"*permission*")</f>
        <v>0</v>
      </c>
    </row>
    <row r="19">
      <c r="A19" s="7" t="s">
        <v>22</v>
      </c>
      <c r="B19" s="8">
        <f>COUNTIF('Weekly Progress Log'!E2:E13,"*safety*")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